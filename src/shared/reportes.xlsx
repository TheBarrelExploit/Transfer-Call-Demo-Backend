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ndres\tarificador\Transfer-Call-Demo-Backend\src\shared\"/>
    </mc:Choice>
  </mc:AlternateContent>
  <xr:revisionPtr revIDLastSave="0" documentId="13_ncr:1_{3CCE8836-B639-4681-9F4E-A1CD7BE9269D}" xr6:coauthVersionLast="47" xr6:coauthVersionMax="47" xr10:uidLastSave="{00000000-0000-0000-0000-000000000000}"/>
  <bookViews>
    <workbookView xWindow="3525" yWindow="1275" windowWidth="21600" windowHeight="11355" firstSheet="1" activeTab="4" xr2:uid="{BBF53177-29A7-4A37-87D8-7C5D15F0C2A9}"/>
  </bookViews>
  <sheets>
    <sheet name="generalEntidad1" sheetId="8" r:id="rId1"/>
    <sheet name="generalEntidad11" sheetId="1" r:id="rId2"/>
    <sheet name="generalEntidad2" sheetId="9" r:id="rId3"/>
    <sheet name="generalEntidad22" sheetId="2" r:id="rId4"/>
    <sheet name="adminGeneralReporte" sheetId="5" r:id="rId5"/>
    <sheet name="sede1" sheetId="3" r:id="rId6"/>
    <sheet name="sede2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9" l="1"/>
  <c r="G2" i="8"/>
  <c r="E2" i="1"/>
  <c r="E3" i="1"/>
  <c r="E4" i="1"/>
  <c r="E5" i="1"/>
  <c r="E6" i="1"/>
  <c r="I18" i="3"/>
  <c r="I19" i="3"/>
  <c r="I20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2" i="4"/>
  <c r="E6" i="2"/>
  <c r="E2" i="2"/>
  <c r="E3" i="2"/>
  <c r="E4" i="2"/>
  <c r="E5" i="2"/>
  <c r="I3" i="5"/>
  <c r="H3" i="5"/>
  <c r="F3" i="5"/>
  <c r="E3" i="5"/>
  <c r="D3" i="5"/>
  <c r="H2" i="5"/>
  <c r="C3" i="5"/>
  <c r="B3" i="5"/>
  <c r="G3" i="5" s="1"/>
  <c r="F2" i="5"/>
  <c r="E2" i="5"/>
  <c r="D2" i="5"/>
  <c r="C2" i="5"/>
  <c r="B2" i="5"/>
  <c r="I2" i="5" l="1"/>
  <c r="G2" i="5"/>
</calcChain>
</file>

<file path=xl/sharedStrings.xml><?xml version="1.0" encoding="utf-8"?>
<sst xmlns="http://schemas.openxmlformats.org/spreadsheetml/2006/main" count="254" uniqueCount="101">
  <si>
    <t>Llamada</t>
  </si>
  <si>
    <t>total llamadas</t>
  </si>
  <si>
    <t>minutos a cobrar</t>
  </si>
  <si>
    <t>valor minuto</t>
  </si>
  <si>
    <t>cobro total</t>
  </si>
  <si>
    <t>Local</t>
  </si>
  <si>
    <t>premium</t>
  </si>
  <si>
    <t>international</t>
  </si>
  <si>
    <t>larga distancia nacional</t>
  </si>
  <si>
    <t>larga distancia internacional</t>
  </si>
  <si>
    <t>Entidad</t>
  </si>
  <si>
    <t>Premiun</t>
  </si>
  <si>
    <t>Internacional</t>
  </si>
  <si>
    <t>Larga distancia nacional</t>
  </si>
  <si>
    <t>Larga distancia internacional</t>
  </si>
  <si>
    <t>Activa tarifa</t>
  </si>
  <si>
    <t>25/05/2025T14:52:00</t>
  </si>
  <si>
    <t>Si</t>
  </si>
  <si>
    <t>25/05/2025T14:52:01</t>
  </si>
  <si>
    <t>tipo de llamada</t>
  </si>
  <si>
    <t>clase de llamada</t>
  </si>
  <si>
    <t>fecha inicio</t>
  </si>
  <si>
    <t>fecha final</t>
  </si>
  <si>
    <t>total minutos</t>
  </si>
  <si>
    <t>contestada</t>
  </si>
  <si>
    <t>saliente</t>
  </si>
  <si>
    <t>2025-04-14T15:28:13.342</t>
  </si>
  <si>
    <t>2025-04-14T15:36:23.744</t>
  </si>
  <si>
    <t>entrante</t>
  </si>
  <si>
    <t>2025-02-01T15:28:13.744</t>
  </si>
  <si>
    <t>2025-01-19T15:30:43.745</t>
  </si>
  <si>
    <t>2025-02-01T15:33:47.745</t>
  </si>
  <si>
    <t>2025-02-103T15:28:13.745</t>
  </si>
  <si>
    <t>2025-04-14T15:33:52.747</t>
  </si>
  <si>
    <t>2025-02-17T15:28:13.459</t>
  </si>
  <si>
    <t>2025-04-14T15:32:05.748</t>
  </si>
  <si>
    <t>2025-02-09T15:28:13.747</t>
  </si>
  <si>
    <t>2025-04-14T15:33:43.749</t>
  </si>
  <si>
    <t>rechazada</t>
  </si>
  <si>
    <t>2025-04-14T15:28:13.748</t>
  </si>
  <si>
    <t>2025-04-14T15:28:23.750</t>
  </si>
  <si>
    <t>salientes</t>
  </si>
  <si>
    <t>2025-04-14T15:28:13.749</t>
  </si>
  <si>
    <t>2025-04-14T15:32:53.751</t>
  </si>
  <si>
    <t>2025-04-14T15:28:13.750</t>
  </si>
  <si>
    <t>2025-04-14T15:30:40.752</t>
  </si>
  <si>
    <t>2025-03-14T15:28:13.751</t>
  </si>
  <si>
    <t>2025-04-14T15:33:23.753</t>
  </si>
  <si>
    <t>2025-03-14T15:28:13.752</t>
  </si>
  <si>
    <t>2025-04-14T15:28:24.754</t>
  </si>
  <si>
    <t>2025-04-14T15:28:13.753</t>
  </si>
  <si>
    <t>2025-04-14T15:34:51.755</t>
  </si>
  <si>
    <t>2025-04-14T15:28:13.754</t>
  </si>
  <si>
    <t>2025-04-14T15:31:56.756</t>
  </si>
  <si>
    <t>2025-05-14T21:13:16.755</t>
  </si>
  <si>
    <t>2025-05-14T21:15:16.756</t>
  </si>
  <si>
    <t>2025-04-14T11:20:19.756</t>
  </si>
  <si>
    <t>2025-04-14T11:28:49.758</t>
  </si>
  <si>
    <t>2025-04-14T20:18:02.757</t>
  </si>
  <si>
    <t>2025-04-14T20:23:32.758</t>
  </si>
  <si>
    <t>2025-04-14T15:05:02.758</t>
  </si>
  <si>
    <t>2025-04-14T15:09:35.760</t>
  </si>
  <si>
    <t>2025-04-14T15:39:13.759</t>
  </si>
  <si>
    <t>2025-04-14T15:40:33.761</t>
  </si>
  <si>
    <t>2025-04-14T16:17:13.760</t>
  </si>
  <si>
    <t>2025-04-14T16:23:53.762</t>
  </si>
  <si>
    <t>2025-04-14T15:28:13.744</t>
  </si>
  <si>
    <t>2025-04-14T15:38:13.744</t>
  </si>
  <si>
    <t>2025-04-14T15:15:13.745</t>
  </si>
  <si>
    <t>2025-04-14T15:24:43.745</t>
  </si>
  <si>
    <t>2025-04-14T15:00:13.746</t>
  </si>
  <si>
    <t>2025-04-14T15:08:20.746</t>
  </si>
  <si>
    <t>2025-04-14T15:28:13.747</t>
  </si>
  <si>
    <t>2025-04-14T15:34:13.747</t>
  </si>
  <si>
    <t>2025-04-14T15:40:13.748</t>
  </si>
  <si>
    <t>2025-04-14T15:34:43.749</t>
  </si>
  <si>
    <t>2025-04-14T15:29:00.750</t>
  </si>
  <si>
    <t>2025-04-14T15:28:13.751</t>
  </si>
  <si>
    <t>2025-04-14T15:29:10.751</t>
  </si>
  <si>
    <t>2025-04-14T15:28:13.752</t>
  </si>
  <si>
    <t>2025-04-14T15:48:13.752</t>
  </si>
  <si>
    <t>2025-04-14T15:29:00.753</t>
  </si>
  <si>
    <t>2025-04-14T15:34:33.754</t>
  </si>
  <si>
    <t>2025-04-14T15:04:13.755</t>
  </si>
  <si>
    <t>2025-04-14T15:08:43.755</t>
  </si>
  <si>
    <t>2025-04-14T15:19:13.756</t>
  </si>
  <si>
    <t>2025-04-14T15:20:20.756</t>
  </si>
  <si>
    <t>2025-04-14T15:28:13.757</t>
  </si>
  <si>
    <t>2025-04-14T15:33:33.757</t>
  </si>
  <si>
    <t>2025-04-14T15:01:13.758</t>
  </si>
  <si>
    <t>2025-04-14T15:06:13.758</t>
  </si>
  <si>
    <t>2025-04-14T15:08:13.759</t>
  </si>
  <si>
    <t>2025-04-14T15:13:43.759</t>
  </si>
  <si>
    <t>Fecha tarifa vigente</t>
  </si>
  <si>
    <t>Tarifa</t>
  </si>
  <si>
    <t>local0,25</t>
  </si>
  <si>
    <t>local0,26</t>
  </si>
  <si>
    <t>Entidad1</t>
  </si>
  <si>
    <t>Entidad2</t>
  </si>
  <si>
    <t>larga distancia intra</t>
  </si>
  <si>
    <t>larga distancia 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</si>
</sst>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6" fontId="0" fillId="0" borderId="0" xfId="0" applyNumberForma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21" fontId="0" fillId="0" borderId="1" xfId="0" applyNumberFormat="1" applyBorder="1"/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21" fontId="0" fillId="0" borderId="5" xfId="0" applyNumberFormat="1" applyBorder="1"/>
    <xf numFmtId="1" fontId="0" fillId="0" borderId="5" xfId="0" applyNumberFormat="1" applyBorder="1"/>
    <xf numFmtId="2" fontId="0" fillId="0" borderId="5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EA8E-3C0B-411F-BD71-F3048600D194}">
  <dimension ref="A1:I2"/>
  <sheetViews>
    <sheetView workbookViewId="0">
      <selection activeCell="I1" sqref="I1"/>
    </sheetView>
  </sheetViews>
  <sheetFormatPr baseColWidth="10" defaultColWidth="11.42578125" defaultRowHeight="15" x14ac:dyDescent="0.25"/>
  <cols>
    <col min="1" max="1" width="26.28515625" customWidth="1"/>
    <col min="2" max="2" width="15.5703125" customWidth="1"/>
    <col min="3" max="3" width="15.42578125" customWidth="1"/>
    <col min="4" max="4" width="15.7109375" customWidth="1"/>
    <col min="5" max="5" width="22.85546875" bestFit="1" customWidth="1"/>
    <col min="6" max="6" width="21.7109375" customWidth="1"/>
    <col min="7" max="7" width="25.5703125" customWidth="1"/>
    <col min="8" max="8" width="23.5703125" customWidth="1"/>
    <col min="9" max="9" width="25.140625" customWidth="1"/>
    <col min="10" max="10" width="26.85546875" customWidth="1"/>
    <col min="11" max="11" width="18" customWidth="1"/>
    <col min="12" max="12" width="16.28515625" bestFit="1" customWidth="1"/>
  </cols>
  <sheetData>
    <row r="1" spans="1:9" x14ac:dyDescent="0.25">
      <c r="A1" t="s">
        <v>10</v>
      </c>
      <c r="B1" s="1" t="s">
        <v>5</v>
      </c>
      <c r="C1" s="1" t="s">
        <v>6</v>
      </c>
      <c r="D1" s="1" t="s">
        <v>7</v>
      </c>
      <c r="E1" s="1" t="s">
        <v>99</v>
      </c>
      <c r="F1" s="1" t="s">
        <v>100</v>
      </c>
      <c r="G1" s="1" t="s">
        <v>1</v>
      </c>
      <c r="H1" s="1" t="s">
        <v>2</v>
      </c>
      <c r="I1" s="1" t="s">
        <v>4</v>
      </c>
    </row>
    <row r="2" spans="1:9" x14ac:dyDescent="0.25">
      <c r="A2" t="s">
        <v>97</v>
      </c>
      <c r="B2">
        <v>7</v>
      </c>
      <c r="C2">
        <v>4</v>
      </c>
      <c r="D2">
        <v>5</v>
      </c>
      <c r="E2">
        <v>2</v>
      </c>
      <c r="F2">
        <v>1</v>
      </c>
      <c r="G2">
        <f>SUM(B2:F2)</f>
        <v>19</v>
      </c>
      <c r="H2">
        <v>80</v>
      </c>
      <c r="I2">
        <v>31.55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E3D3-47AE-4484-ACA5-E06B6D0EA380}">
  <dimension ref="A1:E6"/>
  <sheetViews>
    <sheetView workbookViewId="0">
      <selection activeCell="D14" sqref="D14"/>
    </sheetView>
  </sheetViews>
  <sheetFormatPr baseColWidth="10" defaultColWidth="11.42578125" defaultRowHeight="15" x14ac:dyDescent="0.25"/>
  <cols>
    <col min="1" max="1" width="26.28515625" customWidth="1"/>
    <col min="2" max="2" width="15.5703125" customWidth="1"/>
    <col min="3" max="3" width="15.42578125" customWidth="1"/>
    <col min="4" max="4" width="15.7109375" customWidth="1"/>
    <col min="10" max="12" width="11.42578125" customWidth="1"/>
  </cols>
  <sheetData>
    <row r="1" spans="1:5" x14ac:dyDescent="0.25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7</v>
      </c>
      <c r="C2">
        <v>30</v>
      </c>
      <c r="D2">
        <v>0.25</v>
      </c>
      <c r="E2">
        <f>C2*D2</f>
        <v>7.5</v>
      </c>
    </row>
    <row r="3" spans="1:5" x14ac:dyDescent="0.25">
      <c r="A3" t="s">
        <v>6</v>
      </c>
      <c r="B3">
        <v>4</v>
      </c>
      <c r="C3">
        <v>15</v>
      </c>
      <c r="D3">
        <v>0.5</v>
      </c>
      <c r="E3">
        <f t="shared" ref="E3:E6" si="0">C3*D3</f>
        <v>7.5</v>
      </c>
    </row>
    <row r="4" spans="1:5" x14ac:dyDescent="0.25">
      <c r="A4" t="s">
        <v>7</v>
      </c>
      <c r="B4">
        <v>5</v>
      </c>
      <c r="C4">
        <v>22</v>
      </c>
      <c r="D4">
        <v>0.5</v>
      </c>
      <c r="E4">
        <f t="shared" si="0"/>
        <v>11</v>
      </c>
    </row>
    <row r="5" spans="1:5" x14ac:dyDescent="0.25">
      <c r="A5" t="s">
        <v>8</v>
      </c>
      <c r="B5">
        <v>2</v>
      </c>
      <c r="C5">
        <v>9</v>
      </c>
      <c r="D5">
        <v>0.35</v>
      </c>
      <c r="E5">
        <f t="shared" si="0"/>
        <v>3.15</v>
      </c>
    </row>
    <row r="6" spans="1:5" x14ac:dyDescent="0.25">
      <c r="A6" t="s">
        <v>9</v>
      </c>
      <c r="B6">
        <v>1</v>
      </c>
      <c r="C6">
        <v>4</v>
      </c>
      <c r="D6">
        <v>0.6</v>
      </c>
      <c r="E6">
        <f t="shared" si="0"/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B929-87B5-486A-87B3-0524A39690BC}">
  <dimension ref="A1:I2"/>
  <sheetViews>
    <sheetView workbookViewId="0">
      <selection activeCell="I1" sqref="I1"/>
    </sheetView>
  </sheetViews>
  <sheetFormatPr baseColWidth="10" defaultColWidth="11.42578125" defaultRowHeight="15" x14ac:dyDescent="0.25"/>
  <cols>
    <col min="1" max="1" width="25.140625" customWidth="1"/>
    <col min="2" max="2" width="13.28515625" customWidth="1"/>
    <col min="4" max="4" width="19.85546875" customWidth="1"/>
    <col min="5" max="5" width="18.140625" customWidth="1"/>
    <col min="6" max="6" width="21.42578125" customWidth="1"/>
    <col min="7" max="7" width="16.140625" customWidth="1"/>
    <col min="8" max="8" width="18.140625" customWidth="1"/>
    <col min="9" max="9" width="14.140625" customWidth="1"/>
    <col min="10" max="10" width="23.42578125" customWidth="1"/>
    <col min="11" max="11" width="27" bestFit="1" customWidth="1"/>
    <col min="12" max="12" width="13.85546875" bestFit="1" customWidth="1"/>
    <col min="13" max="13" width="16.28515625" bestFit="1" customWidth="1"/>
  </cols>
  <sheetData>
    <row r="1" spans="1:9" x14ac:dyDescent="0.25">
      <c r="A1" t="s">
        <v>10</v>
      </c>
      <c r="B1" t="s">
        <v>5</v>
      </c>
      <c r="C1" t="s">
        <v>6</v>
      </c>
      <c r="D1" t="s">
        <v>7</v>
      </c>
      <c r="E1" t="s">
        <v>99</v>
      </c>
      <c r="F1" t="s">
        <v>100</v>
      </c>
      <c r="G1" t="s">
        <v>1</v>
      </c>
      <c r="H1" s="1" t="s">
        <v>2</v>
      </c>
      <c r="I1" t="s">
        <v>4</v>
      </c>
    </row>
    <row r="2" spans="1:9" x14ac:dyDescent="0.25">
      <c r="A2" t="s">
        <v>98</v>
      </c>
      <c r="B2">
        <v>8</v>
      </c>
      <c r="C2">
        <v>2</v>
      </c>
      <c r="D2">
        <v>4</v>
      </c>
      <c r="E2">
        <v>1</v>
      </c>
      <c r="F2">
        <v>1</v>
      </c>
      <c r="G2">
        <f>SUM(B2:F2)</f>
        <v>16</v>
      </c>
      <c r="H2">
        <v>100</v>
      </c>
      <c r="I2">
        <v>39.049999999999997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7966-E09D-44E6-A1D1-1B4CD1BFB66F}">
  <dimension ref="A1:E6"/>
  <sheetViews>
    <sheetView workbookViewId="0">
      <selection activeCell="D9" sqref="D9"/>
    </sheetView>
  </sheetViews>
  <sheetFormatPr baseColWidth="10" defaultColWidth="11.42578125" defaultRowHeight="15" x14ac:dyDescent="0.25"/>
  <cols>
    <col min="1" max="1" width="25.140625" customWidth="1"/>
    <col min="10" max="10" width="23.42578125" customWidth="1"/>
  </cols>
  <sheetData>
    <row r="1" spans="1:5" x14ac:dyDescent="0.25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t="s">
        <v>5</v>
      </c>
      <c r="B2">
        <v>8</v>
      </c>
      <c r="C2">
        <v>45</v>
      </c>
      <c r="D2">
        <v>0.25</v>
      </c>
      <c r="E2">
        <f>C2*D2</f>
        <v>11.25</v>
      </c>
    </row>
    <row r="3" spans="1:5" x14ac:dyDescent="0.25">
      <c r="A3" t="s">
        <v>6</v>
      </c>
      <c r="B3">
        <v>2</v>
      </c>
      <c r="C3">
        <v>16</v>
      </c>
      <c r="D3">
        <v>0.5</v>
      </c>
      <c r="E3">
        <f>C3*D3</f>
        <v>8</v>
      </c>
    </row>
    <row r="4" spans="1:5" x14ac:dyDescent="0.25">
      <c r="A4" t="s">
        <v>7</v>
      </c>
      <c r="B4">
        <v>4</v>
      </c>
      <c r="C4">
        <v>21</v>
      </c>
      <c r="D4">
        <v>0.5</v>
      </c>
      <c r="E4">
        <f>C4*D4</f>
        <v>10.5</v>
      </c>
    </row>
    <row r="5" spans="1:5" x14ac:dyDescent="0.25">
      <c r="A5" t="s">
        <v>8</v>
      </c>
      <c r="B5">
        <v>1</v>
      </c>
      <c r="C5">
        <v>6</v>
      </c>
      <c r="D5">
        <v>0.35</v>
      </c>
      <c r="E5">
        <f>C5*D5</f>
        <v>2.0999999999999996</v>
      </c>
    </row>
    <row r="6" spans="1:5" x14ac:dyDescent="0.25">
      <c r="A6" t="s">
        <v>9</v>
      </c>
      <c r="B6">
        <v>1</v>
      </c>
      <c r="C6">
        <v>12</v>
      </c>
      <c r="D6">
        <v>0.6</v>
      </c>
      <c r="E6">
        <f>C6*D6</f>
        <v>7.1999999999999993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4FCE-24BE-4E1A-88C1-7E97F5E559C3}">
  <dimension ref="A1:L8"/>
  <sheetViews>
    <sheetView tabSelected="1" workbookViewId="0">
      <selection activeCell="E7" sqref="E7"/>
    </sheetView>
  </sheetViews>
  <sheetFormatPr baseColWidth="10" defaultColWidth="11.42578125" defaultRowHeight="15" x14ac:dyDescent="0.25"/>
  <cols>
    <col min="2" max="2" width="8.85546875" customWidth="1"/>
    <col min="3" max="3" width="9.42578125" customWidth="1"/>
    <col min="4" max="4" width="13.28515625" customWidth="1"/>
    <col min="5" max="6" width="17" customWidth="1"/>
    <col min="7" max="7" width="10.7109375" customWidth="1"/>
    <col min="8" max="8" width="12.28515625" customWidth="1"/>
    <col min="9" max="9" width="11.85546875" customWidth="1"/>
    <col min="10" max="10" width="22.5703125" customWidth="1"/>
  </cols>
  <sheetData>
    <row r="1" spans="1:12" s="3" customFormat="1" ht="36" customHeight="1" x14ac:dyDescent="0.25">
      <c r="A1" s="3" t="s">
        <v>10</v>
      </c>
      <c r="B1" s="3" t="s">
        <v>5</v>
      </c>
      <c r="C1" s="3" t="s">
        <v>11</v>
      </c>
      <c r="D1" s="3" t="s">
        <v>12</v>
      </c>
      <c r="E1" s="4" t="s">
        <v>13</v>
      </c>
      <c r="F1" s="4" t="s">
        <v>14</v>
      </c>
      <c r="G1" s="4" t="s">
        <v>1</v>
      </c>
      <c r="H1" s="4" t="s">
        <v>2</v>
      </c>
      <c r="I1" s="3" t="s">
        <v>4</v>
      </c>
      <c r="J1" s="3" t="s">
        <v>93</v>
      </c>
      <c r="K1" s="3" t="s">
        <v>15</v>
      </c>
      <c r="L1" s="3" t="s">
        <v>94</v>
      </c>
    </row>
    <row r="2" spans="1:12" x14ac:dyDescent="0.25">
      <c r="A2" t="s">
        <v>97</v>
      </c>
      <c r="B2">
        <f>generalEntidad11!B2</f>
        <v>7</v>
      </c>
      <c r="C2">
        <f>generalEntidad11!B3</f>
        <v>4</v>
      </c>
      <c r="D2">
        <f>generalEntidad11!B4</f>
        <v>5</v>
      </c>
      <c r="E2">
        <f>generalEntidad11!B5</f>
        <v>2</v>
      </c>
      <c r="F2">
        <f>generalEntidad11!B6</f>
        <v>1</v>
      </c>
      <c r="G2">
        <f>adminGeneralReporte!B2+adminGeneralReporte!C2+adminGeneralReporte!D2+adminGeneralReporte!E2+adminGeneralReporte!F2</f>
        <v>19</v>
      </c>
      <c r="H2">
        <f>generalEntidad11!C2+generalEntidad11!C3+generalEntidad11!C4+generalEntidad11!C5+generalEntidad11!C6</f>
        <v>80</v>
      </c>
      <c r="I2" s="2">
        <f>generalEntidad11!E2+generalEntidad11!E3+generalEntidad11!E4+generalEntidad11!E5+generalEntidad11!E6</f>
        <v>31.549999999999997</v>
      </c>
      <c r="J2" t="s">
        <v>16</v>
      </c>
      <c r="K2" t="s">
        <v>17</v>
      </c>
      <c r="L2" t="s">
        <v>95</v>
      </c>
    </row>
    <row r="3" spans="1:12" x14ac:dyDescent="0.25">
      <c r="A3" t="s">
        <v>98</v>
      </c>
      <c r="B3">
        <f>generalEntidad22!B2</f>
        <v>8</v>
      </c>
      <c r="C3">
        <f>generalEntidad22!$B3</f>
        <v>2</v>
      </c>
      <c r="D3">
        <f>generalEntidad22!B4</f>
        <v>4</v>
      </c>
      <c r="E3">
        <f>generalEntidad22!B5</f>
        <v>1</v>
      </c>
      <c r="F3">
        <f>generalEntidad22!B6</f>
        <v>1</v>
      </c>
      <c r="G3">
        <f>SUM(B3:F3)</f>
        <v>16</v>
      </c>
      <c r="H3">
        <f>SUM(generalEntidad22!C2:C6)</f>
        <v>100</v>
      </c>
      <c r="I3">
        <f>SUM(generalEntidad22!E2:E6)</f>
        <v>39.049999999999997</v>
      </c>
      <c r="J3" t="s">
        <v>18</v>
      </c>
      <c r="K3" t="s">
        <v>17</v>
      </c>
      <c r="L3" t="s">
        <v>96</v>
      </c>
    </row>
    <row r="4" spans="1:12" x14ac:dyDescent="0.25">
      <c r="A4" s="1"/>
    </row>
    <row r="8" spans="1:12" x14ac:dyDescent="0.25">
      <c r="H8" s="22"/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50FA-61AE-4BC9-9DEF-73A70E0717F2}">
  <dimension ref="A1:I20"/>
  <sheetViews>
    <sheetView workbookViewId="0">
      <selection activeCell="I2" sqref="I2"/>
    </sheetView>
  </sheetViews>
  <sheetFormatPr baseColWidth="10" defaultColWidth="11.42578125" defaultRowHeight="15" x14ac:dyDescent="0.25"/>
  <cols>
    <col min="1" max="1" width="25.7109375" style="6" customWidth="1"/>
    <col min="2" max="2" width="13.28515625" style="6" customWidth="1"/>
    <col min="3" max="3" width="14.7109375" style="6" customWidth="1"/>
    <col min="4" max="4" width="26.42578125" style="6" customWidth="1"/>
    <col min="5" max="5" width="23.5703125" style="6" customWidth="1"/>
    <col min="6" max="6" width="11.42578125" style="6"/>
    <col min="7" max="7" width="13.28515625" style="6" customWidth="1"/>
    <col min="8" max="8" width="12.5703125" style="6" customWidth="1"/>
    <col min="9" max="9" width="11.42578125" style="6"/>
  </cols>
  <sheetData>
    <row r="1" spans="1:9" ht="28.5" customHeight="1" x14ac:dyDescent="0.25">
      <c r="A1" s="7" t="s">
        <v>0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</v>
      </c>
      <c r="H1" s="7" t="s">
        <v>3</v>
      </c>
      <c r="I1" s="7" t="s">
        <v>4</v>
      </c>
    </row>
    <row r="2" spans="1:9" ht="16.5" customHeight="1" x14ac:dyDescent="0.25">
      <c r="A2" s="8" t="s">
        <v>5</v>
      </c>
      <c r="B2" s="8" t="s">
        <v>24</v>
      </c>
      <c r="C2" s="8" t="s">
        <v>25</v>
      </c>
      <c r="D2" s="8" t="s">
        <v>26</v>
      </c>
      <c r="E2" s="8" t="s">
        <v>27</v>
      </c>
      <c r="F2" s="9">
        <v>5.6712962962962967E-3</v>
      </c>
      <c r="G2" s="10">
        <v>9</v>
      </c>
      <c r="H2" s="11">
        <v>0.25</v>
      </c>
      <c r="I2" s="11">
        <f t="shared" ref="I2:I20" si="0">G2*H2</f>
        <v>2.25</v>
      </c>
    </row>
    <row r="3" spans="1:9" x14ac:dyDescent="0.25">
      <c r="A3" s="8" t="s">
        <v>6</v>
      </c>
      <c r="B3" s="8" t="s">
        <v>24</v>
      </c>
      <c r="C3" s="8" t="s">
        <v>28</v>
      </c>
      <c r="D3" s="8" t="s">
        <v>29</v>
      </c>
      <c r="E3" s="8" t="s">
        <v>30</v>
      </c>
      <c r="F3" s="9">
        <v>1.7592592592592592E-3</v>
      </c>
      <c r="G3" s="10">
        <v>3</v>
      </c>
      <c r="H3" s="11">
        <v>0.5</v>
      </c>
      <c r="I3" s="11">
        <f t="shared" si="0"/>
        <v>1.5</v>
      </c>
    </row>
    <row r="4" spans="1:9" x14ac:dyDescent="0.25">
      <c r="A4" s="8" t="s">
        <v>7</v>
      </c>
      <c r="B4" s="8" t="s">
        <v>24</v>
      </c>
      <c r="C4" s="8" t="s">
        <v>28</v>
      </c>
      <c r="D4" s="8" t="s">
        <v>29</v>
      </c>
      <c r="E4" s="8" t="s">
        <v>31</v>
      </c>
      <c r="F4" s="9">
        <v>3.8657407407407408E-3</v>
      </c>
      <c r="G4" s="10">
        <v>6</v>
      </c>
      <c r="H4" s="11">
        <v>0.5</v>
      </c>
      <c r="I4" s="11">
        <f t="shared" si="0"/>
        <v>3</v>
      </c>
    </row>
    <row r="5" spans="1:9" x14ac:dyDescent="0.25">
      <c r="A5" s="8" t="s">
        <v>8</v>
      </c>
      <c r="B5" s="8" t="s">
        <v>24</v>
      </c>
      <c r="C5" s="8" t="s">
        <v>25</v>
      </c>
      <c r="D5" s="8" t="s">
        <v>32</v>
      </c>
      <c r="E5" s="8" t="s">
        <v>33</v>
      </c>
      <c r="F5" s="9">
        <v>3.9236111111111112E-3</v>
      </c>
      <c r="G5" s="10">
        <v>6</v>
      </c>
      <c r="H5" s="11">
        <v>0.35</v>
      </c>
      <c r="I5" s="11">
        <f t="shared" si="0"/>
        <v>2.0999999999999996</v>
      </c>
    </row>
    <row r="6" spans="1:9" ht="14.25" customHeight="1" x14ac:dyDescent="0.25">
      <c r="A6" s="8" t="s">
        <v>9</v>
      </c>
      <c r="B6" s="8" t="s">
        <v>24</v>
      </c>
      <c r="C6" s="8" t="s">
        <v>25</v>
      </c>
      <c r="D6" s="8" t="s">
        <v>34</v>
      </c>
      <c r="E6" s="8" t="s">
        <v>35</v>
      </c>
      <c r="F6" s="9">
        <v>2.685185185185185E-3</v>
      </c>
      <c r="G6" s="10">
        <v>4</v>
      </c>
      <c r="H6" s="11">
        <v>0.5</v>
      </c>
      <c r="I6" s="11">
        <f t="shared" si="0"/>
        <v>2</v>
      </c>
    </row>
    <row r="7" spans="1:9" x14ac:dyDescent="0.25">
      <c r="A7" s="8" t="s">
        <v>6</v>
      </c>
      <c r="B7" s="8" t="s">
        <v>24</v>
      </c>
      <c r="C7" s="8" t="s">
        <v>28</v>
      </c>
      <c r="D7" s="8" t="s">
        <v>36</v>
      </c>
      <c r="E7" s="8" t="s">
        <v>37</v>
      </c>
      <c r="F7" s="9">
        <v>4.5138888888888885E-3</v>
      </c>
      <c r="G7" s="10">
        <v>7</v>
      </c>
      <c r="H7" s="11">
        <v>0.5</v>
      </c>
      <c r="I7" s="11">
        <f t="shared" si="0"/>
        <v>3.5</v>
      </c>
    </row>
    <row r="8" spans="1:9" x14ac:dyDescent="0.25">
      <c r="A8" s="8" t="s">
        <v>5</v>
      </c>
      <c r="B8" s="8" t="s">
        <v>38</v>
      </c>
      <c r="C8" s="8" t="s">
        <v>28</v>
      </c>
      <c r="D8" s="8" t="s">
        <v>39</v>
      </c>
      <c r="E8" s="8" t="s">
        <v>40</v>
      </c>
      <c r="F8" s="9">
        <v>0</v>
      </c>
      <c r="G8" s="10">
        <v>0</v>
      </c>
      <c r="H8" s="11">
        <v>0.25</v>
      </c>
      <c r="I8" s="11">
        <f t="shared" si="0"/>
        <v>0</v>
      </c>
    </row>
    <row r="9" spans="1:9" x14ac:dyDescent="0.25">
      <c r="A9" s="8" t="s">
        <v>5</v>
      </c>
      <c r="B9" s="8" t="s">
        <v>24</v>
      </c>
      <c r="C9" s="8" t="s">
        <v>41</v>
      </c>
      <c r="D9" s="8" t="s">
        <v>42</v>
      </c>
      <c r="E9" s="8" t="s">
        <v>43</v>
      </c>
      <c r="F9" s="9">
        <v>3.2407407407407406E-3</v>
      </c>
      <c r="G9" s="10">
        <v>5</v>
      </c>
      <c r="H9" s="11">
        <v>0.25</v>
      </c>
      <c r="I9" s="11">
        <f t="shared" si="0"/>
        <v>1.25</v>
      </c>
    </row>
    <row r="10" spans="1:9" x14ac:dyDescent="0.25">
      <c r="A10" s="8" t="s">
        <v>8</v>
      </c>
      <c r="B10" s="8" t="s">
        <v>24</v>
      </c>
      <c r="C10" s="8" t="s">
        <v>28</v>
      </c>
      <c r="D10" s="8" t="s">
        <v>44</v>
      </c>
      <c r="E10" s="8" t="s">
        <v>45</v>
      </c>
      <c r="F10" s="9">
        <v>1.7013888888888888E-3</v>
      </c>
      <c r="G10" s="10">
        <v>3</v>
      </c>
      <c r="H10" s="11">
        <v>0.35</v>
      </c>
      <c r="I10" s="11">
        <f t="shared" si="0"/>
        <v>1.0499999999999998</v>
      </c>
    </row>
    <row r="11" spans="1:9" x14ac:dyDescent="0.25">
      <c r="A11" s="8" t="s">
        <v>5</v>
      </c>
      <c r="B11" s="8" t="s">
        <v>24</v>
      </c>
      <c r="C11" s="8" t="s">
        <v>28</v>
      </c>
      <c r="D11" s="8" t="s">
        <v>46</v>
      </c>
      <c r="E11" s="8" t="s">
        <v>47</v>
      </c>
      <c r="F11" s="9">
        <v>3.5879629629629629E-3</v>
      </c>
      <c r="G11" s="10">
        <v>6</v>
      </c>
      <c r="H11" s="11">
        <v>0.25</v>
      </c>
      <c r="I11" s="11">
        <f t="shared" si="0"/>
        <v>1.5</v>
      </c>
    </row>
    <row r="12" spans="1:9" x14ac:dyDescent="0.25">
      <c r="A12" s="8" t="s">
        <v>5</v>
      </c>
      <c r="B12" s="8" t="s">
        <v>38</v>
      </c>
      <c r="C12" s="8" t="s">
        <v>25</v>
      </c>
      <c r="D12" s="8" t="s">
        <v>48</v>
      </c>
      <c r="E12" s="8" t="s">
        <v>49</v>
      </c>
      <c r="F12" s="9">
        <v>0</v>
      </c>
      <c r="G12" s="10">
        <v>0</v>
      </c>
      <c r="H12" s="11">
        <v>0.25</v>
      </c>
      <c r="I12" s="11">
        <f t="shared" si="0"/>
        <v>0</v>
      </c>
    </row>
    <row r="13" spans="1:9" x14ac:dyDescent="0.25">
      <c r="A13" s="8" t="s">
        <v>7</v>
      </c>
      <c r="B13" s="8" t="s">
        <v>24</v>
      </c>
      <c r="C13" s="8" t="s">
        <v>25</v>
      </c>
      <c r="D13" s="8" t="s">
        <v>50</v>
      </c>
      <c r="E13" s="8" t="s">
        <v>51</v>
      </c>
      <c r="F13" s="9">
        <v>4.6064814814814814E-3</v>
      </c>
      <c r="G13" s="10">
        <v>7</v>
      </c>
      <c r="H13" s="11">
        <v>0.25</v>
      </c>
      <c r="I13" s="11">
        <f t="shared" si="0"/>
        <v>1.75</v>
      </c>
    </row>
    <row r="14" spans="1:9" x14ac:dyDescent="0.25">
      <c r="A14" s="8" t="s">
        <v>5</v>
      </c>
      <c r="B14" s="8" t="s">
        <v>24</v>
      </c>
      <c r="C14" s="8" t="s">
        <v>28</v>
      </c>
      <c r="D14" s="8" t="s">
        <v>52</v>
      </c>
      <c r="E14" s="8" t="s">
        <v>53</v>
      </c>
      <c r="F14" s="9">
        <v>2.6041666666666665E-3</v>
      </c>
      <c r="G14" s="10">
        <v>4</v>
      </c>
      <c r="H14" s="11">
        <v>0.25</v>
      </c>
      <c r="I14" s="11">
        <f t="shared" si="0"/>
        <v>1</v>
      </c>
    </row>
    <row r="15" spans="1:9" x14ac:dyDescent="0.25">
      <c r="A15" s="8" t="s">
        <v>7</v>
      </c>
      <c r="B15" s="8" t="s">
        <v>38</v>
      </c>
      <c r="C15" s="8" t="s">
        <v>28</v>
      </c>
      <c r="D15" s="8" t="s">
        <v>54</v>
      </c>
      <c r="E15" s="8" t="s">
        <v>55</v>
      </c>
      <c r="F15" s="9">
        <v>0</v>
      </c>
      <c r="G15" s="10">
        <v>0</v>
      </c>
      <c r="H15" s="11">
        <v>0.5</v>
      </c>
      <c r="I15" s="11">
        <f t="shared" si="0"/>
        <v>0</v>
      </c>
    </row>
    <row r="16" spans="1:9" x14ac:dyDescent="0.25">
      <c r="A16" s="8" t="s">
        <v>7</v>
      </c>
      <c r="B16" s="8" t="s">
        <v>24</v>
      </c>
      <c r="C16" s="8" t="s">
        <v>25</v>
      </c>
      <c r="D16" s="8" t="s">
        <v>56</v>
      </c>
      <c r="E16" s="8" t="s">
        <v>57</v>
      </c>
      <c r="F16" s="9">
        <v>6.0185185185185185E-3</v>
      </c>
      <c r="G16" s="10">
        <v>9</v>
      </c>
      <c r="H16" s="11">
        <v>0.5</v>
      </c>
      <c r="I16" s="11">
        <f t="shared" si="0"/>
        <v>4.5</v>
      </c>
    </row>
    <row r="17" spans="1:9" x14ac:dyDescent="0.25">
      <c r="A17" s="8" t="s">
        <v>5</v>
      </c>
      <c r="B17" s="8" t="s">
        <v>24</v>
      </c>
      <c r="C17" s="8" t="s">
        <v>28</v>
      </c>
      <c r="D17" s="8" t="s">
        <v>58</v>
      </c>
      <c r="E17" s="8" t="s">
        <v>59</v>
      </c>
      <c r="F17" s="9">
        <v>3.8194444444444443E-3</v>
      </c>
      <c r="G17" s="10">
        <v>6</v>
      </c>
      <c r="H17" s="11">
        <v>0.25</v>
      </c>
      <c r="I17" s="11">
        <f t="shared" si="0"/>
        <v>1.5</v>
      </c>
    </row>
    <row r="18" spans="1:9" x14ac:dyDescent="0.25">
      <c r="A18" s="8" t="s">
        <v>6</v>
      </c>
      <c r="B18" s="8" t="s">
        <v>24</v>
      </c>
      <c r="C18" s="8" t="s">
        <v>41</v>
      </c>
      <c r="D18" s="8" t="s">
        <v>60</v>
      </c>
      <c r="E18" s="8" t="s">
        <v>61</v>
      </c>
      <c r="F18" s="9">
        <v>3.1250000000000002E-3</v>
      </c>
      <c r="G18" s="12">
        <v>5</v>
      </c>
      <c r="H18" s="11">
        <v>0.5</v>
      </c>
      <c r="I18" s="11">
        <f t="shared" si="0"/>
        <v>2.5</v>
      </c>
    </row>
    <row r="19" spans="1:9" x14ac:dyDescent="0.25">
      <c r="A19" s="8" t="s">
        <v>6</v>
      </c>
      <c r="B19" s="8" t="s">
        <v>38</v>
      </c>
      <c r="C19" s="8" t="s">
        <v>28</v>
      </c>
      <c r="D19" s="8" t="s">
        <v>62</v>
      </c>
      <c r="E19" s="8" t="s">
        <v>63</v>
      </c>
      <c r="F19" s="9">
        <v>0</v>
      </c>
      <c r="G19" s="12">
        <v>0</v>
      </c>
      <c r="H19" s="13">
        <v>0.5</v>
      </c>
      <c r="I19" s="11">
        <f t="shared" si="0"/>
        <v>0</v>
      </c>
    </row>
    <row r="20" spans="1:9" x14ac:dyDescent="0.25">
      <c r="A20" s="8" t="s">
        <v>7</v>
      </c>
      <c r="B20" s="8" t="s">
        <v>38</v>
      </c>
      <c r="C20" s="8" t="s">
        <v>41</v>
      </c>
      <c r="D20" s="8" t="s">
        <v>64</v>
      </c>
      <c r="E20" s="8" t="s">
        <v>65</v>
      </c>
      <c r="F20" s="9">
        <v>0</v>
      </c>
      <c r="G20" s="14">
        <v>0</v>
      </c>
      <c r="H20" s="15">
        <v>0.5</v>
      </c>
      <c r="I20" s="16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8A55-C68C-4D21-8A28-92168BC5D745}">
  <dimension ref="A1:J22"/>
  <sheetViews>
    <sheetView workbookViewId="0">
      <selection activeCell="F2" sqref="F2:I17"/>
    </sheetView>
  </sheetViews>
  <sheetFormatPr baseColWidth="10" defaultColWidth="11.42578125" defaultRowHeight="15" x14ac:dyDescent="0.25"/>
  <cols>
    <col min="1" max="1" width="25" bestFit="1" customWidth="1"/>
    <col min="2" max="2" width="25" customWidth="1"/>
    <col min="3" max="3" width="16.5703125" customWidth="1"/>
    <col min="4" max="4" width="27.5703125" customWidth="1"/>
    <col min="5" max="5" width="32" customWidth="1"/>
    <col min="6" max="6" width="13.5703125" customWidth="1"/>
    <col min="7" max="7" width="15.28515625" bestFit="1" customWidth="1"/>
    <col min="9" max="9" width="13.85546875" customWidth="1"/>
    <col min="10" max="10" width="17.28515625" customWidth="1"/>
  </cols>
  <sheetData>
    <row r="1" spans="1:10" x14ac:dyDescent="0.25">
      <c r="A1" s="17" t="s">
        <v>0</v>
      </c>
      <c r="B1" s="17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</v>
      </c>
      <c r="H1" s="17" t="s">
        <v>3</v>
      </c>
      <c r="I1" s="18" t="s">
        <v>4</v>
      </c>
      <c r="J1" s="1"/>
    </row>
    <row r="2" spans="1:10" x14ac:dyDescent="0.25">
      <c r="A2" s="18" t="s">
        <v>5</v>
      </c>
      <c r="B2" s="18" t="s">
        <v>38</v>
      </c>
      <c r="C2" s="18" t="s">
        <v>25</v>
      </c>
      <c r="D2" s="18" t="s">
        <v>66</v>
      </c>
      <c r="E2" s="18" t="s">
        <v>67</v>
      </c>
      <c r="F2" s="19">
        <v>6.9444444444444441E-3</v>
      </c>
      <c r="G2" s="20">
        <v>10</v>
      </c>
      <c r="H2" s="18">
        <v>0.25</v>
      </c>
      <c r="I2" s="18">
        <f t="shared" ref="I2:I17" si="0">G2*H2</f>
        <v>2.5</v>
      </c>
    </row>
    <row r="3" spans="1:10" x14ac:dyDescent="0.25">
      <c r="A3" s="18" t="s">
        <v>6</v>
      </c>
      <c r="B3" s="18" t="s">
        <v>24</v>
      </c>
      <c r="C3" s="18" t="s">
        <v>28</v>
      </c>
      <c r="D3" s="18" t="s">
        <v>68</v>
      </c>
      <c r="E3" s="18" t="s">
        <v>69</v>
      </c>
      <c r="F3" s="19">
        <v>6.5972222222222222E-3</v>
      </c>
      <c r="G3" s="20">
        <v>10</v>
      </c>
      <c r="H3" s="18">
        <v>0.5</v>
      </c>
      <c r="I3" s="18">
        <f t="shared" si="0"/>
        <v>5</v>
      </c>
    </row>
    <row r="4" spans="1:10" x14ac:dyDescent="0.25">
      <c r="A4" s="18" t="s">
        <v>7</v>
      </c>
      <c r="B4" s="18" t="s">
        <v>24</v>
      </c>
      <c r="C4" s="18" t="s">
        <v>28</v>
      </c>
      <c r="D4" s="18" t="s">
        <v>70</v>
      </c>
      <c r="E4" s="18" t="s">
        <v>71</v>
      </c>
      <c r="F4" s="19">
        <v>5.7870370370370367E-3</v>
      </c>
      <c r="G4" s="20">
        <v>9</v>
      </c>
      <c r="H4" s="18">
        <v>0.5</v>
      </c>
      <c r="I4" s="18">
        <f t="shared" si="0"/>
        <v>4.5</v>
      </c>
    </row>
    <row r="5" spans="1:10" x14ac:dyDescent="0.25">
      <c r="A5" s="18" t="s">
        <v>8</v>
      </c>
      <c r="B5" s="18" t="s">
        <v>24</v>
      </c>
      <c r="C5" s="18" t="s">
        <v>25</v>
      </c>
      <c r="D5" s="18" t="s">
        <v>72</v>
      </c>
      <c r="E5" s="18" t="s">
        <v>73</v>
      </c>
      <c r="F5" s="19">
        <v>4.1666666666666666E-3</v>
      </c>
      <c r="G5" s="20">
        <v>6</v>
      </c>
      <c r="H5" s="18">
        <v>0.35</v>
      </c>
      <c r="I5" s="18">
        <f t="shared" si="0"/>
        <v>2.0999999999999996</v>
      </c>
    </row>
    <row r="6" spans="1:10" x14ac:dyDescent="0.25">
      <c r="A6" s="18" t="s">
        <v>9</v>
      </c>
      <c r="B6" s="18" t="s">
        <v>24</v>
      </c>
      <c r="C6" s="18" t="s">
        <v>25</v>
      </c>
      <c r="D6" s="18" t="s">
        <v>39</v>
      </c>
      <c r="E6" s="18" t="s">
        <v>74</v>
      </c>
      <c r="F6" s="19">
        <v>8.3333333333333332E-3</v>
      </c>
      <c r="G6" s="20">
        <v>12</v>
      </c>
      <c r="H6" s="18">
        <v>0.6</v>
      </c>
      <c r="I6" s="18">
        <f t="shared" si="0"/>
        <v>7.1999999999999993</v>
      </c>
    </row>
    <row r="7" spans="1:10" x14ac:dyDescent="0.25">
      <c r="A7" s="18" t="s">
        <v>6</v>
      </c>
      <c r="B7" s="18" t="s">
        <v>24</v>
      </c>
      <c r="C7" s="18" t="s">
        <v>28</v>
      </c>
      <c r="D7" s="18" t="s">
        <v>42</v>
      </c>
      <c r="E7" s="18" t="s">
        <v>75</v>
      </c>
      <c r="F7" s="19">
        <v>4.5138888888888885E-3</v>
      </c>
      <c r="G7" s="20">
        <v>7</v>
      </c>
      <c r="H7" s="18">
        <v>0.5</v>
      </c>
      <c r="I7" s="18">
        <f t="shared" si="0"/>
        <v>3.5</v>
      </c>
    </row>
    <row r="8" spans="1:10" x14ac:dyDescent="0.25">
      <c r="A8" s="18" t="s">
        <v>5</v>
      </c>
      <c r="B8" s="18" t="s">
        <v>38</v>
      </c>
      <c r="C8" s="18" t="s">
        <v>28</v>
      </c>
      <c r="D8" s="18" t="s">
        <v>44</v>
      </c>
      <c r="E8" s="18" t="s">
        <v>76</v>
      </c>
      <c r="F8" s="19">
        <v>0</v>
      </c>
      <c r="G8" s="20">
        <v>0</v>
      </c>
      <c r="H8" s="18">
        <v>0.25</v>
      </c>
      <c r="I8" s="18">
        <f t="shared" si="0"/>
        <v>0</v>
      </c>
    </row>
    <row r="9" spans="1:10" x14ac:dyDescent="0.25">
      <c r="A9" s="18" t="s">
        <v>5</v>
      </c>
      <c r="B9" s="18" t="s">
        <v>38</v>
      </c>
      <c r="C9" s="18" t="s">
        <v>41</v>
      </c>
      <c r="D9" s="18" t="s">
        <v>77</v>
      </c>
      <c r="E9" s="18" t="s">
        <v>78</v>
      </c>
      <c r="F9" s="19">
        <v>0</v>
      </c>
      <c r="G9" s="20">
        <v>0</v>
      </c>
      <c r="H9" s="18">
        <v>0.25</v>
      </c>
      <c r="I9" s="18">
        <f t="shared" si="0"/>
        <v>0</v>
      </c>
    </row>
    <row r="10" spans="1:10" x14ac:dyDescent="0.25">
      <c r="A10" s="18" t="s">
        <v>5</v>
      </c>
      <c r="B10" s="18" t="s">
        <v>24</v>
      </c>
      <c r="C10" s="18" t="s">
        <v>28</v>
      </c>
      <c r="D10" s="18" t="s">
        <v>79</v>
      </c>
      <c r="E10" s="18" t="s">
        <v>80</v>
      </c>
      <c r="F10" s="19">
        <v>1.3888888888888888E-2</v>
      </c>
      <c r="G10" s="20">
        <v>20</v>
      </c>
      <c r="H10" s="18">
        <v>0.25</v>
      </c>
      <c r="I10" s="18">
        <f t="shared" si="0"/>
        <v>5</v>
      </c>
    </row>
    <row r="11" spans="1:10" x14ac:dyDescent="0.25">
      <c r="A11" s="18" t="s">
        <v>5</v>
      </c>
      <c r="B11" s="18" t="s">
        <v>38</v>
      </c>
      <c r="C11" s="18" t="s">
        <v>25</v>
      </c>
      <c r="D11" s="18" t="s">
        <v>50</v>
      </c>
      <c r="E11" s="18" t="s">
        <v>81</v>
      </c>
      <c r="F11" s="19">
        <v>0</v>
      </c>
      <c r="G11" s="21">
        <v>0</v>
      </c>
      <c r="H11" s="18">
        <v>0.25</v>
      </c>
      <c r="I11" s="18">
        <f t="shared" si="0"/>
        <v>0</v>
      </c>
    </row>
    <row r="12" spans="1:10" x14ac:dyDescent="0.25">
      <c r="A12" s="18" t="s">
        <v>7</v>
      </c>
      <c r="B12" s="18" t="s">
        <v>24</v>
      </c>
      <c r="C12" s="18" t="s">
        <v>25</v>
      </c>
      <c r="D12" s="18" t="s">
        <v>52</v>
      </c>
      <c r="E12" s="18" t="s">
        <v>82</v>
      </c>
      <c r="F12" s="19">
        <v>5.092592592592593E-3</v>
      </c>
      <c r="G12" s="20">
        <v>8</v>
      </c>
      <c r="H12" s="18">
        <v>0.5</v>
      </c>
      <c r="I12" s="18">
        <f t="shared" si="0"/>
        <v>4</v>
      </c>
    </row>
    <row r="13" spans="1:10" x14ac:dyDescent="0.25">
      <c r="A13" s="18" t="s">
        <v>5</v>
      </c>
      <c r="B13" s="18" t="s">
        <v>24</v>
      </c>
      <c r="C13" s="18" t="s">
        <v>28</v>
      </c>
      <c r="D13" s="18" t="s">
        <v>83</v>
      </c>
      <c r="E13" s="18" t="s">
        <v>84</v>
      </c>
      <c r="F13" s="19">
        <v>3.1250000000000002E-3</v>
      </c>
      <c r="G13" s="20">
        <v>5</v>
      </c>
      <c r="H13" s="18">
        <v>0.25</v>
      </c>
      <c r="I13" s="18">
        <f t="shared" si="0"/>
        <v>1.25</v>
      </c>
    </row>
    <row r="14" spans="1:10" x14ac:dyDescent="0.25">
      <c r="A14" s="18" t="s">
        <v>7</v>
      </c>
      <c r="B14" s="18" t="s">
        <v>38</v>
      </c>
      <c r="C14" s="18" t="s">
        <v>28</v>
      </c>
      <c r="D14" s="18" t="s">
        <v>85</v>
      </c>
      <c r="E14" s="18" t="s">
        <v>86</v>
      </c>
      <c r="F14" s="19">
        <v>0</v>
      </c>
      <c r="G14" s="20">
        <v>0</v>
      </c>
      <c r="H14" s="18">
        <v>0.5</v>
      </c>
      <c r="I14" s="18">
        <f t="shared" si="0"/>
        <v>0</v>
      </c>
    </row>
    <row r="15" spans="1:10" x14ac:dyDescent="0.25">
      <c r="A15" s="18" t="s">
        <v>7</v>
      </c>
      <c r="B15" s="18" t="s">
        <v>24</v>
      </c>
      <c r="C15" s="18" t="s">
        <v>25</v>
      </c>
      <c r="D15" s="18" t="s">
        <v>87</v>
      </c>
      <c r="E15" s="18" t="s">
        <v>88</v>
      </c>
      <c r="F15" s="19">
        <v>3.7037037037037038E-3</v>
      </c>
      <c r="G15" s="21">
        <v>6</v>
      </c>
      <c r="H15" s="18">
        <v>0.5</v>
      </c>
      <c r="I15" s="18">
        <f t="shared" si="0"/>
        <v>3</v>
      </c>
    </row>
    <row r="16" spans="1:10" x14ac:dyDescent="0.25">
      <c r="A16" s="18" t="s">
        <v>5</v>
      </c>
      <c r="B16" s="18" t="s">
        <v>24</v>
      </c>
      <c r="C16" s="18" t="s">
        <v>28</v>
      </c>
      <c r="D16" s="18" t="s">
        <v>89</v>
      </c>
      <c r="E16" s="18" t="s">
        <v>90</v>
      </c>
      <c r="F16" s="19">
        <v>3.472222222222222E-3</v>
      </c>
      <c r="G16" s="20">
        <v>5</v>
      </c>
      <c r="H16" s="18">
        <v>0.25</v>
      </c>
      <c r="I16" s="18">
        <f t="shared" si="0"/>
        <v>1.25</v>
      </c>
    </row>
    <row r="17" spans="1:9" x14ac:dyDescent="0.25">
      <c r="A17" s="18" t="s">
        <v>5</v>
      </c>
      <c r="B17" s="18" t="s">
        <v>24</v>
      </c>
      <c r="C17" s="18" t="s">
        <v>41</v>
      </c>
      <c r="D17" s="18" t="s">
        <v>91</v>
      </c>
      <c r="E17" s="18" t="s">
        <v>92</v>
      </c>
      <c r="F17" s="19">
        <v>3.8194444444444443E-3</v>
      </c>
      <c r="G17" s="20">
        <v>6</v>
      </c>
      <c r="H17" s="18">
        <v>0.25</v>
      </c>
      <c r="I17" s="18">
        <f t="shared" si="0"/>
        <v>1.5</v>
      </c>
    </row>
    <row r="18" spans="1:9" x14ac:dyDescent="0.25">
      <c r="F18" s="5"/>
    </row>
    <row r="19" spans="1:9" x14ac:dyDescent="0.25">
      <c r="F19" s="5"/>
    </row>
    <row r="22" spans="1:9" x14ac:dyDescent="0.25">
      <c r="A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generalEntidad1</vt:lpstr>
      <vt:lpstr>generalEntidad11</vt:lpstr>
      <vt:lpstr>generalEntidad2</vt:lpstr>
      <vt:lpstr>generalEntidad22</vt:lpstr>
      <vt:lpstr>adminGeneralReporte</vt:lpstr>
      <vt:lpstr>sede1</vt:lpstr>
      <vt:lpstr>sede2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Denuar Andres Ramos Lezama</dc:creator>
  <cp:keywords/>
  <dc:description/>
  <cp:lastModifiedBy>Denuar Andres Ramos Lezama</cp:lastModifiedBy>
  <cp:revision/>
  <dcterms:created xsi:type="dcterms:W3CDTF">2025-05-16T01:24:16Z</dcterms:created>
  <dcterms:modified xsi:type="dcterms:W3CDTF">2025-05-24T04:29:05Z</dcterms:modified>
  <cp:category/>
  <cp:contentStatus/>
</cp:coreProperties>
</file>